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dediosamate/Documents/Universidad/Curso_4_de_Fisica/GNOMOS/Juande_P4y0_/"/>
    </mc:Choice>
  </mc:AlternateContent>
  <xr:revisionPtr revIDLastSave="0" documentId="8_{0706A05A-EBD8-914B-8700-76C5D915E110}" xr6:coauthVersionLast="47" xr6:coauthVersionMax="47" xr10:uidLastSave="{00000000-0000-0000-0000-000000000000}"/>
  <bookViews>
    <workbookView xWindow="3880" yWindow="3940" windowWidth="28040" windowHeight="17440" xr2:uid="{9378BCD6-30DA-5147-A5E0-A0CF32A295B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0" i="1" l="1"/>
  <c r="J41" i="1"/>
  <c r="J42" i="1"/>
  <c r="J43" i="1"/>
  <c r="J39" i="1"/>
  <c r="G40" i="1"/>
  <c r="G41" i="1"/>
  <c r="G42" i="1"/>
  <c r="G43" i="1"/>
  <c r="G39" i="1"/>
  <c r="D40" i="1"/>
  <c r="D41" i="1"/>
  <c r="D42" i="1"/>
  <c r="D43" i="1"/>
  <c r="D39" i="1"/>
</calcChain>
</file>

<file path=xl/sharedStrings.xml><?xml version="1.0" encoding="utf-8"?>
<sst xmlns="http://schemas.openxmlformats.org/spreadsheetml/2006/main" count="36" uniqueCount="21">
  <si>
    <t>N</t>
  </si>
  <si>
    <t>PRIMER GAP</t>
  </si>
  <si>
    <t>Ocurrencia</t>
  </si>
  <si>
    <t>VOY A COGER EL PUNTO DONDE EMPIEZA EL GAP COMO REFERENCIA</t>
  </si>
  <si>
    <t>Segundo GAP</t>
  </si>
  <si>
    <t>Tercer gap</t>
  </si>
  <si>
    <t>ocurrencia</t>
  </si>
  <si>
    <t>AQUÍ ENFRENTO EL VALOR DE K (UNIDADES DE PI/A) CON 2n/N</t>
  </si>
  <si>
    <t>N=10</t>
  </si>
  <si>
    <t>N=15</t>
  </si>
  <si>
    <t>N=20</t>
  </si>
  <si>
    <t>N=25</t>
  </si>
  <si>
    <t>N=30</t>
  </si>
  <si>
    <t>Gap 1</t>
  </si>
  <si>
    <t>K</t>
  </si>
  <si>
    <t>n</t>
  </si>
  <si>
    <t>Gap 2</t>
  </si>
  <si>
    <t>PRIMER GAP (K=1)</t>
  </si>
  <si>
    <t>LA FORMULA QUE USO ES K=2n/N</t>
  </si>
  <si>
    <t>SEGUNDO GAP (K=2)</t>
  </si>
  <si>
    <t>TERCERN GAP (K=3)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</si>
</sst>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Hoja1!$C$3</c:f>
              <c:strCache>
                <c:ptCount val="1"/>
                <c:pt idx="0">
                  <c:v>Ocurrencia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Hoja1!$B$4:$B$8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Hoja1!$C$4:$C$8</c:f>
              <c:numCache>
                <c:formatCode>General</c:formatCode>
                <c:ptCount val="5"/>
                <c:pt idx="0">
                  <c:v>9</c:v>
                </c:pt>
                <c:pt idx="1">
                  <c:v>14</c:v>
                </c:pt>
                <c:pt idx="2">
                  <c:v>19</c:v>
                </c:pt>
                <c:pt idx="3">
                  <c:v>24</c:v>
                </c:pt>
                <c:pt idx="4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7-8240-A4CA-0FEE27EB5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91040"/>
        <c:axId val="172756816"/>
      </c:scatterChart>
      <c:valAx>
        <c:axId val="17269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756816"/>
        <c:crosses val="autoZero"/>
        <c:crossBetween val="midCat"/>
      </c:valAx>
      <c:valAx>
        <c:axId val="1727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69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Hoja1!$F$3</c:f>
              <c:strCache>
                <c:ptCount val="1"/>
                <c:pt idx="0">
                  <c:v>Ocurrencia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Hoja1!$E$4:$E$8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Hoja1!$F$4:$F$8</c:f>
              <c:numCache>
                <c:formatCode>General</c:formatCode>
                <c:ptCount val="5"/>
                <c:pt idx="0">
                  <c:v>19</c:v>
                </c:pt>
                <c:pt idx="1">
                  <c:v>28</c:v>
                </c:pt>
                <c:pt idx="2">
                  <c:v>37</c:v>
                </c:pt>
                <c:pt idx="3">
                  <c:v>47</c:v>
                </c:pt>
                <c:pt idx="4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0-7542-BE2B-22692967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16256"/>
        <c:axId val="128465584"/>
      </c:scatterChart>
      <c:valAx>
        <c:axId val="1732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465584"/>
        <c:crosses val="autoZero"/>
        <c:crossBetween val="midCat"/>
      </c:valAx>
      <c:valAx>
        <c:axId val="1284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21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Hoja1!$I$3</c:f>
              <c:strCache>
                <c:ptCount val="1"/>
                <c:pt idx="0">
                  <c:v>ocurrencia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Hoja1!$H$4:$H$8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Hoja1!$I$4:$I$8</c:f>
              <c:numCache>
                <c:formatCode>General</c:formatCode>
                <c:ptCount val="5"/>
                <c:pt idx="0">
                  <c:v>28</c:v>
                </c:pt>
                <c:pt idx="1">
                  <c:v>41</c:v>
                </c:pt>
                <c:pt idx="2">
                  <c:v>55</c:v>
                </c:pt>
                <c:pt idx="3">
                  <c:v>70</c:v>
                </c:pt>
                <c:pt idx="4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D-CB44-AB40-23E03B2CE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15280"/>
        <c:axId val="194117056"/>
      </c:scatterChart>
      <c:valAx>
        <c:axId val="19411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117056"/>
        <c:crosses val="autoZero"/>
        <c:crossBetween val="midCat"/>
      </c:valAx>
      <c:valAx>
        <c:axId val="1941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11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Hoja1!$D$38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Hoja1!$C$39:$C$43</c:f>
              <c:numCache>
                <c:formatCode>General</c:formatCode>
                <c:ptCount val="5"/>
                <c:pt idx="0">
                  <c:v>9</c:v>
                </c:pt>
                <c:pt idx="1">
                  <c:v>14</c:v>
                </c:pt>
                <c:pt idx="2">
                  <c:v>19</c:v>
                </c:pt>
                <c:pt idx="3">
                  <c:v>24</c:v>
                </c:pt>
                <c:pt idx="4">
                  <c:v>29</c:v>
                </c:pt>
              </c:numCache>
            </c:numRef>
          </c:xVal>
          <c:yVal>
            <c:numRef>
              <c:f>Hoja1!$D$39:$D$43</c:f>
              <c:numCache>
                <c:formatCode>General</c:formatCode>
                <c:ptCount val="5"/>
                <c:pt idx="0">
                  <c:v>5</c:v>
                </c:pt>
                <c:pt idx="1">
                  <c:v>7.5</c:v>
                </c:pt>
                <c:pt idx="2">
                  <c:v>10</c:v>
                </c:pt>
                <c:pt idx="3">
                  <c:v>12.5</c:v>
                </c:pt>
                <c:pt idx="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C-804A-AE0E-A8F153437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468128"/>
        <c:axId val="223384048"/>
      </c:scatterChart>
      <c:valAx>
        <c:axId val="22346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3384048"/>
        <c:crosses val="autoZero"/>
        <c:crossBetween val="midCat"/>
      </c:valAx>
      <c:valAx>
        <c:axId val="2233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346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Hoja1!$G$38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Hoja1!$F$39:$F$43</c:f>
              <c:numCache>
                <c:formatCode>General</c:formatCode>
                <c:ptCount val="5"/>
                <c:pt idx="0">
                  <c:v>19</c:v>
                </c:pt>
                <c:pt idx="1">
                  <c:v>28</c:v>
                </c:pt>
                <c:pt idx="2">
                  <c:v>37</c:v>
                </c:pt>
                <c:pt idx="3">
                  <c:v>47</c:v>
                </c:pt>
                <c:pt idx="4">
                  <c:v>55</c:v>
                </c:pt>
              </c:numCache>
            </c:numRef>
          </c:xVal>
          <c:yVal>
            <c:numRef>
              <c:f>Hoja1!$G$39:$G$43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0-BA4F-B3AE-3280928B0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124704"/>
        <c:axId val="239228368"/>
      </c:scatterChart>
      <c:valAx>
        <c:axId val="23912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9228368"/>
        <c:crosses val="autoZero"/>
        <c:crossBetween val="midCat"/>
      </c:valAx>
      <c:valAx>
        <c:axId val="23922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912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Hoja1!$J$38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Hoja1!$I$39:$I$43</c:f>
              <c:numCache>
                <c:formatCode>General</c:formatCode>
                <c:ptCount val="5"/>
                <c:pt idx="0">
                  <c:v>28</c:v>
                </c:pt>
                <c:pt idx="1">
                  <c:v>41</c:v>
                </c:pt>
                <c:pt idx="2">
                  <c:v>55</c:v>
                </c:pt>
                <c:pt idx="3">
                  <c:v>70</c:v>
                </c:pt>
                <c:pt idx="4">
                  <c:v>80</c:v>
                </c:pt>
              </c:numCache>
            </c:numRef>
          </c:xVal>
          <c:yVal>
            <c:numRef>
              <c:f>Hoja1!$J$39:$J$43</c:f>
              <c:numCache>
                <c:formatCode>General</c:formatCode>
                <c:ptCount val="5"/>
                <c:pt idx="0">
                  <c:v>15</c:v>
                </c:pt>
                <c:pt idx="1">
                  <c:v>22.5</c:v>
                </c:pt>
                <c:pt idx="2">
                  <c:v>30</c:v>
                </c:pt>
                <c:pt idx="3">
                  <c:v>37.5</c:v>
                </c:pt>
                <c:pt idx="4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A-F842-B9C0-3C9EF44E4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37392"/>
        <c:axId val="223745056"/>
      </c:scatterChart>
      <c:valAx>
        <c:axId val="22423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3745056"/>
        <c:crosses val="autoZero"/>
        <c:crossBetween val="midCat"/>
      </c:valAx>
      <c:valAx>
        <c:axId val="22374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423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Hoja1!$D$64:$D$78</c:f>
              <c:numCache>
                <c:formatCode>General</c:formatCode>
                <c:ptCount val="15"/>
                <c:pt idx="0">
                  <c:v>9</c:v>
                </c:pt>
                <c:pt idx="1">
                  <c:v>14</c:v>
                </c:pt>
                <c:pt idx="2">
                  <c:v>19</c:v>
                </c:pt>
                <c:pt idx="3">
                  <c:v>24</c:v>
                </c:pt>
                <c:pt idx="4">
                  <c:v>29</c:v>
                </c:pt>
                <c:pt idx="5">
                  <c:v>19</c:v>
                </c:pt>
                <c:pt idx="6">
                  <c:v>28</c:v>
                </c:pt>
                <c:pt idx="7">
                  <c:v>37</c:v>
                </c:pt>
                <c:pt idx="8">
                  <c:v>47</c:v>
                </c:pt>
                <c:pt idx="9">
                  <c:v>55</c:v>
                </c:pt>
                <c:pt idx="10">
                  <c:v>28</c:v>
                </c:pt>
                <c:pt idx="11">
                  <c:v>41</c:v>
                </c:pt>
                <c:pt idx="12">
                  <c:v>55</c:v>
                </c:pt>
                <c:pt idx="13">
                  <c:v>70</c:v>
                </c:pt>
                <c:pt idx="14">
                  <c:v>80</c:v>
                </c:pt>
              </c:numCache>
            </c:numRef>
          </c:xVal>
          <c:yVal>
            <c:numRef>
              <c:f>Hoja1!$E$64:$E$78</c:f>
              <c:numCache>
                <c:formatCode>General</c:formatCode>
                <c:ptCount val="15"/>
                <c:pt idx="0">
                  <c:v>5</c:v>
                </c:pt>
                <c:pt idx="1">
                  <c:v>7.5</c:v>
                </c:pt>
                <c:pt idx="2">
                  <c:v>10</c:v>
                </c:pt>
                <c:pt idx="3">
                  <c:v>12.5</c:v>
                </c:pt>
                <c:pt idx="4">
                  <c:v>15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15</c:v>
                </c:pt>
                <c:pt idx="11">
                  <c:v>22.5</c:v>
                </c:pt>
                <c:pt idx="12">
                  <c:v>30</c:v>
                </c:pt>
                <c:pt idx="13">
                  <c:v>37.5</c:v>
                </c:pt>
                <c:pt idx="14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B-1B4A-8C85-97276D0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873952"/>
        <c:axId val="198776624"/>
      </c:scatterChart>
      <c:valAx>
        <c:axId val="21987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776624"/>
        <c:crosses val="autoZero"/>
        <c:crossBetween val="midCat"/>
      </c:valAx>
      <c:valAx>
        <c:axId val="1987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987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95250</xdr:rowOff>
    </xdr:from>
    <xdr:to>
      <xdr:col>5</xdr:col>
      <xdr:colOff>444500</xdr:colOff>
      <xdr:row>30</xdr:row>
      <xdr:rowOff>196850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178DD2-BAC5-EB18-4C16-7612C048C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679450</xdr:colOff>
      <xdr:row>17</xdr:row>
      <xdr:rowOff>107950</xdr:rowOff>
    </xdr:from>
    <xdr:to>
      <xdr:col>11</xdr:col>
      <xdr:colOff>298450</xdr:colOff>
      <xdr:row>31</xdr:row>
      <xdr:rowOff>6350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4A4700-CE32-CDBE-DE84-B924FE038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177800</xdr:colOff>
      <xdr:row>17</xdr:row>
      <xdr:rowOff>82550</xdr:rowOff>
    </xdr:from>
    <xdr:to>
      <xdr:col>17</xdr:col>
      <xdr:colOff>622300</xdr:colOff>
      <xdr:row>30</xdr:row>
      <xdr:rowOff>184150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A69718-771A-9E39-A759-D97321EDB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292100</xdr:colOff>
      <xdr:row>46</xdr:row>
      <xdr:rowOff>69850</xdr:rowOff>
    </xdr:from>
    <xdr:to>
      <xdr:col>5</xdr:col>
      <xdr:colOff>736600</xdr:colOff>
      <xdr:row>59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9347E5C-DEB2-6E0E-6A45-CC0DC8EC7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139700</xdr:colOff>
      <xdr:row>45</xdr:row>
      <xdr:rowOff>158750</xdr:rowOff>
    </xdr:from>
    <xdr:to>
      <xdr:col>11</xdr:col>
      <xdr:colOff>584200</xdr:colOff>
      <xdr:row>59</xdr:row>
      <xdr:rowOff>57150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EAB4FF8-4C77-7841-F844-354478A46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571500</xdr:colOff>
      <xdr:row>45</xdr:row>
      <xdr:rowOff>146050</xdr:rowOff>
    </xdr:from>
    <xdr:to>
      <xdr:col>17</xdr:col>
      <xdr:colOff>190500</xdr:colOff>
      <xdr:row>59</xdr:row>
      <xdr:rowOff>44450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16DF859-3133-4599-F97C-FFCD19525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165100</xdr:colOff>
      <xdr:row>67</xdr:row>
      <xdr:rowOff>196850</xdr:rowOff>
    </xdr:from>
    <xdr:to>
      <xdr:col>11</xdr:col>
      <xdr:colOff>609600</xdr:colOff>
      <xdr:row>81</xdr:row>
      <xdr:rowOff>95250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B62AC16-917D-489D-ADA4-6B709BA4F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253E-D333-CB49-9C64-23580227EDAE}">
  <dimension ref="A1:J78"/>
  <sheetViews>
    <sheetView tabSelected="1" topLeftCell="A38" zoomScale="150" workbookViewId="0">
      <selection activeCell="L65" sqref="L65"/>
    </sheetView>
  </sheetViews>
  <sheetFormatPr baseColWidth="10" defaultRowHeight="16" x14ac:dyDescent="0.2"/>
  <sheetData>
    <row r="1" spans="1:9" x14ac:dyDescent="0.2">
      <c r="A1" t="s">
        <v>3</v>
      </c>
    </row>
    <row r="2" spans="1:9" x14ac:dyDescent="0.2">
      <c r="B2" t="s">
        <v>1</v>
      </c>
      <c r="E2" t="s">
        <v>4</v>
      </c>
      <c r="H2" t="s">
        <v>5</v>
      </c>
    </row>
    <row r="3" spans="1:9" x14ac:dyDescent="0.2">
      <c r="B3" t="s">
        <v>0</v>
      </c>
      <c r="C3" t="s">
        <v>2</v>
      </c>
      <c r="E3" t="s">
        <v>0</v>
      </c>
      <c r="F3" t="s">
        <v>2</v>
      </c>
      <c r="H3" t="s">
        <v>0</v>
      </c>
      <c r="I3" t="s">
        <v>6</v>
      </c>
    </row>
    <row r="4" spans="1:9" x14ac:dyDescent="0.2">
      <c r="B4">
        <v>10</v>
      </c>
      <c r="C4">
        <v>9</v>
      </c>
      <c r="E4">
        <v>10</v>
      </c>
      <c r="F4">
        <v>19</v>
      </c>
      <c r="H4">
        <v>10</v>
      </c>
      <c r="I4">
        <v>28</v>
      </c>
    </row>
    <row r="5" spans="1:9" x14ac:dyDescent="0.2">
      <c r="B5">
        <v>15</v>
      </c>
      <c r="C5">
        <v>14</v>
      </c>
      <c r="E5">
        <v>15</v>
      </c>
      <c r="F5">
        <v>28</v>
      </c>
      <c r="H5">
        <v>15</v>
      </c>
      <c r="I5">
        <v>41</v>
      </c>
    </row>
    <row r="6" spans="1:9" x14ac:dyDescent="0.2">
      <c r="B6">
        <v>20</v>
      </c>
      <c r="C6">
        <v>19</v>
      </c>
      <c r="E6">
        <v>20</v>
      </c>
      <c r="F6">
        <v>37</v>
      </c>
      <c r="H6">
        <v>20</v>
      </c>
      <c r="I6">
        <v>55</v>
      </c>
    </row>
    <row r="7" spans="1:9" x14ac:dyDescent="0.2">
      <c r="B7">
        <v>25</v>
      </c>
      <c r="C7">
        <v>24</v>
      </c>
      <c r="E7">
        <v>25</v>
      </c>
      <c r="F7">
        <v>47</v>
      </c>
      <c r="H7">
        <v>25</v>
      </c>
      <c r="I7">
        <v>70</v>
      </c>
    </row>
    <row r="8" spans="1:9" x14ac:dyDescent="0.2">
      <c r="B8">
        <v>30</v>
      </c>
      <c r="C8">
        <v>29</v>
      </c>
      <c r="E8">
        <v>30</v>
      </c>
      <c r="F8">
        <v>55</v>
      </c>
      <c r="H8">
        <v>30</v>
      </c>
      <c r="I8">
        <v>80</v>
      </c>
    </row>
    <row r="10" spans="1:9" x14ac:dyDescent="0.2">
      <c r="A10" t="s">
        <v>7</v>
      </c>
    </row>
    <row r="11" spans="1:9" x14ac:dyDescent="0.2">
      <c r="B11" s="1" t="s">
        <v>13</v>
      </c>
      <c r="C11" s="1"/>
      <c r="E11" s="1" t="s">
        <v>16</v>
      </c>
      <c r="F11" s="1"/>
      <c r="H11" s="1" t="s">
        <v>16</v>
      </c>
      <c r="I11" s="1"/>
    </row>
    <row r="12" spans="1:9" x14ac:dyDescent="0.2">
      <c r="B12" t="s">
        <v>14</v>
      </c>
      <c r="C12" t="s">
        <v>6</v>
      </c>
      <c r="E12" t="s">
        <v>14</v>
      </c>
      <c r="F12" t="s">
        <v>6</v>
      </c>
      <c r="H12" t="s">
        <v>14</v>
      </c>
      <c r="I12" t="s">
        <v>6</v>
      </c>
    </row>
    <row r="13" spans="1:9" x14ac:dyDescent="0.2">
      <c r="A13" t="s">
        <v>8</v>
      </c>
      <c r="B13">
        <v>1</v>
      </c>
      <c r="C13">
        <v>9</v>
      </c>
      <c r="E13">
        <v>2</v>
      </c>
      <c r="F13">
        <v>19</v>
      </c>
      <c r="H13">
        <v>3</v>
      </c>
      <c r="I13">
        <v>28</v>
      </c>
    </row>
    <row r="14" spans="1:9" x14ac:dyDescent="0.2">
      <c r="A14" t="s">
        <v>9</v>
      </c>
      <c r="B14">
        <v>1</v>
      </c>
      <c r="C14">
        <v>14</v>
      </c>
      <c r="E14">
        <v>2</v>
      </c>
      <c r="F14">
        <v>28</v>
      </c>
      <c r="H14">
        <v>3</v>
      </c>
      <c r="I14">
        <v>41</v>
      </c>
    </row>
    <row r="15" spans="1:9" x14ac:dyDescent="0.2">
      <c r="A15" t="s">
        <v>10</v>
      </c>
      <c r="B15">
        <v>1</v>
      </c>
      <c r="C15">
        <v>19</v>
      </c>
      <c r="E15">
        <v>2</v>
      </c>
      <c r="F15">
        <v>37</v>
      </c>
      <c r="H15">
        <v>3</v>
      </c>
      <c r="I15">
        <v>55</v>
      </c>
    </row>
    <row r="16" spans="1:9" x14ac:dyDescent="0.2">
      <c r="A16" t="s">
        <v>11</v>
      </c>
      <c r="B16">
        <v>1</v>
      </c>
      <c r="C16">
        <v>24</v>
      </c>
      <c r="E16">
        <v>2</v>
      </c>
      <c r="F16">
        <v>47</v>
      </c>
      <c r="H16">
        <v>3</v>
      </c>
      <c r="I16">
        <v>70</v>
      </c>
    </row>
    <row r="17" spans="1:9" x14ac:dyDescent="0.2">
      <c r="A17" t="s">
        <v>12</v>
      </c>
      <c r="B17">
        <v>1</v>
      </c>
      <c r="C17">
        <v>29</v>
      </c>
      <c r="E17">
        <v>2</v>
      </c>
      <c r="F17">
        <v>55</v>
      </c>
      <c r="H17">
        <v>3</v>
      </c>
      <c r="I17">
        <v>80</v>
      </c>
    </row>
    <row r="35" spans="2:10" x14ac:dyDescent="0.2">
      <c r="C35" t="s">
        <v>18</v>
      </c>
    </row>
    <row r="37" spans="2:10" x14ac:dyDescent="0.2">
      <c r="C37" t="s">
        <v>17</v>
      </c>
      <c r="F37" t="s">
        <v>19</v>
      </c>
      <c r="I37" t="s">
        <v>20</v>
      </c>
    </row>
    <row r="38" spans="2:10" x14ac:dyDescent="0.2">
      <c r="B38" t="s">
        <v>0</v>
      </c>
      <c r="C38" t="s">
        <v>6</v>
      </c>
      <c r="D38" t="s">
        <v>15</v>
      </c>
      <c r="F38" t="s">
        <v>6</v>
      </c>
      <c r="G38" t="s">
        <v>15</v>
      </c>
      <c r="I38" t="s">
        <v>6</v>
      </c>
      <c r="J38" t="s">
        <v>15</v>
      </c>
    </row>
    <row r="39" spans="2:10" x14ac:dyDescent="0.2">
      <c r="B39">
        <v>10</v>
      </c>
      <c r="C39">
        <v>9</v>
      </c>
      <c r="D39">
        <f>1*B39/(2)</f>
        <v>5</v>
      </c>
      <c r="F39">
        <v>19</v>
      </c>
      <c r="G39">
        <f>2*B39/(2)</f>
        <v>10</v>
      </c>
      <c r="I39">
        <v>28</v>
      </c>
      <c r="J39">
        <f>3*B39/2</f>
        <v>15</v>
      </c>
    </row>
    <row r="40" spans="2:10" x14ac:dyDescent="0.2">
      <c r="B40">
        <v>15</v>
      </c>
      <c r="C40">
        <v>14</v>
      </c>
      <c r="D40">
        <f>1*B40/(2)</f>
        <v>7.5</v>
      </c>
      <c r="F40">
        <v>28</v>
      </c>
      <c r="G40">
        <f>2*B40/(2)</f>
        <v>15</v>
      </c>
      <c r="I40">
        <v>41</v>
      </c>
      <c r="J40">
        <f>3*B40/2</f>
        <v>22.5</v>
      </c>
    </row>
    <row r="41" spans="2:10" x14ac:dyDescent="0.2">
      <c r="B41">
        <v>20</v>
      </c>
      <c r="C41">
        <v>19</v>
      </c>
      <c r="D41">
        <f>1*B41/(2)</f>
        <v>10</v>
      </c>
      <c r="F41">
        <v>37</v>
      </c>
      <c r="G41">
        <f>2*B41/(2)</f>
        <v>20</v>
      </c>
      <c r="I41">
        <v>55</v>
      </c>
      <c r="J41">
        <f>3*B41/2</f>
        <v>30</v>
      </c>
    </row>
    <row r="42" spans="2:10" x14ac:dyDescent="0.2">
      <c r="B42">
        <v>25</v>
      </c>
      <c r="C42">
        <v>24</v>
      </c>
      <c r="D42">
        <f>1*B42/(2)</f>
        <v>12.5</v>
      </c>
      <c r="F42">
        <v>47</v>
      </c>
      <c r="G42">
        <f>2*B42/(2)</f>
        <v>25</v>
      </c>
      <c r="I42">
        <v>70</v>
      </c>
      <c r="J42">
        <f>3*B42/2</f>
        <v>37.5</v>
      </c>
    </row>
    <row r="43" spans="2:10" x14ac:dyDescent="0.2">
      <c r="B43">
        <v>30</v>
      </c>
      <c r="C43">
        <v>29</v>
      </c>
      <c r="D43">
        <f>1*B43/(2)</f>
        <v>15</v>
      </c>
      <c r="F43">
        <v>55</v>
      </c>
      <c r="G43">
        <f>2*B43/(2)</f>
        <v>30</v>
      </c>
      <c r="I43">
        <v>80</v>
      </c>
      <c r="J43">
        <f>3*B43/2</f>
        <v>45</v>
      </c>
    </row>
    <row r="64" spans="4:5" x14ac:dyDescent="0.2">
      <c r="D64">
        <v>9</v>
      </c>
      <c r="E64">
        <v>5</v>
      </c>
    </row>
    <row r="65" spans="4:5" x14ac:dyDescent="0.2">
      <c r="D65">
        <v>14</v>
      </c>
      <c r="E65">
        <v>7.5</v>
      </c>
    </row>
    <row r="66" spans="4:5" x14ac:dyDescent="0.2">
      <c r="D66">
        <v>19</v>
      </c>
      <c r="E66">
        <v>10</v>
      </c>
    </row>
    <row r="67" spans="4:5" x14ac:dyDescent="0.2">
      <c r="D67">
        <v>24</v>
      </c>
      <c r="E67">
        <v>12.5</v>
      </c>
    </row>
    <row r="68" spans="4:5" x14ac:dyDescent="0.2">
      <c r="D68">
        <v>29</v>
      </c>
      <c r="E68">
        <v>15</v>
      </c>
    </row>
    <row r="69" spans="4:5" x14ac:dyDescent="0.2">
      <c r="D69">
        <v>19</v>
      </c>
      <c r="E69">
        <v>10</v>
      </c>
    </row>
    <row r="70" spans="4:5" x14ac:dyDescent="0.2">
      <c r="D70">
        <v>28</v>
      </c>
      <c r="E70">
        <v>15</v>
      </c>
    </row>
    <row r="71" spans="4:5" x14ac:dyDescent="0.2">
      <c r="D71">
        <v>37</v>
      </c>
      <c r="E71">
        <v>20</v>
      </c>
    </row>
    <row r="72" spans="4:5" x14ac:dyDescent="0.2">
      <c r="D72">
        <v>47</v>
      </c>
      <c r="E72">
        <v>25</v>
      </c>
    </row>
    <row r="73" spans="4:5" x14ac:dyDescent="0.2">
      <c r="D73">
        <v>55</v>
      </c>
      <c r="E73">
        <v>30</v>
      </c>
    </row>
    <row r="74" spans="4:5" x14ac:dyDescent="0.2">
      <c r="D74">
        <v>28</v>
      </c>
      <c r="E74">
        <v>15</v>
      </c>
    </row>
    <row r="75" spans="4:5" x14ac:dyDescent="0.2">
      <c r="D75">
        <v>41</v>
      </c>
      <c r="E75">
        <v>22.5</v>
      </c>
    </row>
    <row r="76" spans="4:5" x14ac:dyDescent="0.2">
      <c r="D76">
        <v>55</v>
      </c>
      <c r="E76">
        <v>30</v>
      </c>
    </row>
    <row r="77" spans="4:5" x14ac:dyDescent="0.2">
      <c r="D77">
        <v>70</v>
      </c>
      <c r="E77">
        <v>37.5</v>
      </c>
    </row>
    <row r="78" spans="4:5" x14ac:dyDescent="0.2">
      <c r="D78">
        <v>80</v>
      </c>
      <c r="E78">
        <v>45</v>
      </c>
    </row>
  </sheetData>
  <mergeCells count="3">
    <mergeCell ref="B11:C11"/>
    <mergeCell ref="E11:F11"/>
    <mergeCell ref="H11:I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2026-06-01T12:24:30Z</dcterms:created>
  <dcterms:modified xsi:type="dcterms:W3CDTF">2026-06-01T21:04:12Z</dcterms:modified>
</cp:coreProperties>
</file>