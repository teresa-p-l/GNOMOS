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uandediosamate/Documents/Universidad/Curso_4_de_Fisica/Electronica_Gnomos/GNOMOS/Juande_P4y0_/"/>
    </mc:Choice>
  </mc:AlternateContent>
  <xr:revisionPtr revIDLastSave="0" documentId="13_ncr:1_{CE5591C4-14EA-0247-9D03-D5210B6909C2}" xr6:coauthVersionLast="47" xr6:coauthVersionMax="47" xr10:uidLastSave="{00000000-0000-0000-0000-000000000000}"/>
  <bookViews>
    <workbookView xWindow="25160" yWindow="500" windowWidth="26060" windowHeight="26520" xr2:uid="{9378BCD6-30DA-5147-A5E0-A0CF32A295BC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0" i="1" l="1"/>
  <c r="I89" i="1"/>
  <c r="I88" i="1"/>
  <c r="I87" i="1"/>
  <c r="E90" i="1"/>
  <c r="E92" i="1"/>
  <c r="E89" i="1"/>
  <c r="E88" i="1"/>
  <c r="E87" i="1"/>
  <c r="J40" i="1"/>
  <c r="J41" i="1"/>
  <c r="J42" i="1"/>
  <c r="J43" i="1"/>
  <c r="J39" i="1"/>
  <c r="G40" i="1"/>
  <c r="G41" i="1"/>
  <c r="G42" i="1"/>
  <c r="G43" i="1"/>
  <c r="G39" i="1"/>
  <c r="D40" i="1"/>
  <c r="D41" i="1"/>
  <c r="D42" i="1"/>
  <c r="D43" i="1"/>
  <c r="D39" i="1"/>
</calcChain>
</file>

<file path=xl/sharedStrings.xml><?xml version="1.0" encoding="utf-8"?>
<sst xmlns="http://schemas.openxmlformats.org/spreadsheetml/2006/main" count="45" uniqueCount="23">
  <si>
    <t>N</t>
  </si>
  <si>
    <t>PRIMER GAP</t>
  </si>
  <si>
    <t>Ocurrencia</t>
  </si>
  <si>
    <t>VOY A COGER EL PUNTO DONDE EMPIEZA EL GAP COMO REFERENCIA</t>
  </si>
  <si>
    <t>Segundo GAP</t>
  </si>
  <si>
    <t>Tercer gap</t>
  </si>
  <si>
    <t>ocurrencia</t>
  </si>
  <si>
    <t>AQUÍ ENFRENTO EL VALOR DE K (UNIDADES DE PI/A) CON 2n/N</t>
  </si>
  <si>
    <t>N=10</t>
  </si>
  <si>
    <t>N=15</t>
  </si>
  <si>
    <t>N=20</t>
  </si>
  <si>
    <t>N=25</t>
  </si>
  <si>
    <t>N=30</t>
  </si>
  <si>
    <t>Gap 1</t>
  </si>
  <si>
    <t>K</t>
  </si>
  <si>
    <t>n</t>
  </si>
  <si>
    <t>Gap 2</t>
  </si>
  <si>
    <t>PRIMER GAP (K=1)</t>
  </si>
  <si>
    <t>LA FORMULA QUE USO ES K=2n/N</t>
  </si>
  <si>
    <t>SEGUNDO GAP (K=2)</t>
  </si>
  <si>
    <t>TERCERN GAP (K=3)</t>
  </si>
  <si>
    <t>N=100</t>
  </si>
  <si>
    <t>ocurrenca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</si>
</sst>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Hoja1!$C$3</c:f>
              <c:strCache>
                <c:ptCount val="1"/>
                <c:pt idx="0">
                  <c:v>Ocurrencia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ES"/>
                </a:p>
              </c:txPr>
            </c:trendlineLbl>
          </c:trendline>
          <c:xVal>
            <c:numRef>
              <c:f>Hoja1!$B$4:$B$8</c:f>
              <c:numCache>
                <c:formatCode>General</c:formatCode>
                <c:ptCount val="5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</c:numCache>
            </c:numRef>
          </c:xVal>
          <c:yVal>
            <c:numRef>
              <c:f>Hoja1!$C$4:$C$8</c:f>
              <c:numCache>
                <c:formatCode>General</c:formatCode>
                <c:ptCount val="5"/>
                <c:pt idx="0">
                  <c:v>9</c:v>
                </c:pt>
                <c:pt idx="1">
                  <c:v>14</c:v>
                </c:pt>
                <c:pt idx="2">
                  <c:v>19</c:v>
                </c:pt>
                <c:pt idx="3">
                  <c:v>24</c:v>
                </c:pt>
                <c:pt idx="4">
                  <c:v>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BB7-8240-A4CA-0FEE27EB53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691040"/>
        <c:axId val="172756816"/>
      </c:scatterChart>
      <c:valAx>
        <c:axId val="1726910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2756816"/>
        <c:crosses val="autoZero"/>
        <c:crossBetween val="midCat"/>
      </c:valAx>
      <c:valAx>
        <c:axId val="172756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26910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Hoja1!$F$3</c:f>
              <c:strCache>
                <c:ptCount val="1"/>
                <c:pt idx="0">
                  <c:v>Ocurrencia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ES"/>
                </a:p>
              </c:txPr>
            </c:trendlineLbl>
          </c:trendline>
          <c:xVal>
            <c:numRef>
              <c:f>Hoja1!$E$4:$E$8</c:f>
              <c:numCache>
                <c:formatCode>General</c:formatCode>
                <c:ptCount val="5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</c:numCache>
            </c:numRef>
          </c:xVal>
          <c:yVal>
            <c:numRef>
              <c:f>Hoja1!$F$4:$F$8</c:f>
              <c:numCache>
                <c:formatCode>General</c:formatCode>
                <c:ptCount val="5"/>
                <c:pt idx="0">
                  <c:v>19</c:v>
                </c:pt>
                <c:pt idx="1">
                  <c:v>28</c:v>
                </c:pt>
                <c:pt idx="2">
                  <c:v>37</c:v>
                </c:pt>
                <c:pt idx="3">
                  <c:v>47</c:v>
                </c:pt>
                <c:pt idx="4">
                  <c:v>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090-7542-BE2B-2269296710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216256"/>
        <c:axId val="128465584"/>
      </c:scatterChart>
      <c:valAx>
        <c:axId val="1732162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8465584"/>
        <c:crosses val="autoZero"/>
        <c:crossBetween val="midCat"/>
      </c:valAx>
      <c:valAx>
        <c:axId val="128465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32162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Hoja1!$I$3</c:f>
              <c:strCache>
                <c:ptCount val="1"/>
                <c:pt idx="0">
                  <c:v>ocurrencia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ES"/>
                </a:p>
              </c:txPr>
            </c:trendlineLbl>
          </c:trendline>
          <c:xVal>
            <c:numRef>
              <c:f>Hoja1!$H$4:$H$8</c:f>
              <c:numCache>
                <c:formatCode>General</c:formatCode>
                <c:ptCount val="5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</c:numCache>
            </c:numRef>
          </c:xVal>
          <c:yVal>
            <c:numRef>
              <c:f>Hoja1!$I$4:$I$8</c:f>
              <c:numCache>
                <c:formatCode>General</c:formatCode>
                <c:ptCount val="5"/>
                <c:pt idx="0">
                  <c:v>28</c:v>
                </c:pt>
                <c:pt idx="1">
                  <c:v>41</c:v>
                </c:pt>
                <c:pt idx="2">
                  <c:v>55</c:v>
                </c:pt>
                <c:pt idx="3">
                  <c:v>70</c:v>
                </c:pt>
                <c:pt idx="4">
                  <c:v>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E0D-CB44-AB40-23E03B2CE4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115280"/>
        <c:axId val="194117056"/>
      </c:scatterChart>
      <c:valAx>
        <c:axId val="1941152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4117056"/>
        <c:crosses val="autoZero"/>
        <c:crossBetween val="midCat"/>
      </c:valAx>
      <c:valAx>
        <c:axId val="194117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41152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Hoja1!$D$38</c:f>
              <c:strCache>
                <c:ptCount val="1"/>
                <c:pt idx="0">
                  <c:v>n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ES"/>
                </a:p>
              </c:txPr>
            </c:trendlineLbl>
          </c:trendline>
          <c:xVal>
            <c:numRef>
              <c:f>Hoja1!$C$39:$C$43</c:f>
              <c:numCache>
                <c:formatCode>General</c:formatCode>
                <c:ptCount val="5"/>
                <c:pt idx="0">
                  <c:v>9</c:v>
                </c:pt>
                <c:pt idx="1">
                  <c:v>14</c:v>
                </c:pt>
                <c:pt idx="2">
                  <c:v>19</c:v>
                </c:pt>
                <c:pt idx="3">
                  <c:v>24</c:v>
                </c:pt>
                <c:pt idx="4">
                  <c:v>29</c:v>
                </c:pt>
              </c:numCache>
            </c:numRef>
          </c:xVal>
          <c:yVal>
            <c:numRef>
              <c:f>Hoja1!$D$39:$D$43</c:f>
              <c:numCache>
                <c:formatCode>General</c:formatCode>
                <c:ptCount val="5"/>
                <c:pt idx="0">
                  <c:v>5</c:v>
                </c:pt>
                <c:pt idx="1">
                  <c:v>7.5</c:v>
                </c:pt>
                <c:pt idx="2">
                  <c:v>10</c:v>
                </c:pt>
                <c:pt idx="3">
                  <c:v>12.5</c:v>
                </c:pt>
                <c:pt idx="4">
                  <c:v>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E6C-804A-AE0E-A8F1534376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3468128"/>
        <c:axId val="223384048"/>
      </c:scatterChart>
      <c:valAx>
        <c:axId val="2234681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23384048"/>
        <c:crosses val="autoZero"/>
        <c:crossBetween val="midCat"/>
      </c:valAx>
      <c:valAx>
        <c:axId val="223384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234681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Hoja1!$G$38</c:f>
              <c:strCache>
                <c:ptCount val="1"/>
                <c:pt idx="0">
                  <c:v>n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ES"/>
                </a:p>
              </c:txPr>
            </c:trendlineLbl>
          </c:trendline>
          <c:xVal>
            <c:numRef>
              <c:f>Hoja1!$F$39:$F$43</c:f>
              <c:numCache>
                <c:formatCode>General</c:formatCode>
                <c:ptCount val="5"/>
                <c:pt idx="0">
                  <c:v>19</c:v>
                </c:pt>
                <c:pt idx="1">
                  <c:v>28</c:v>
                </c:pt>
                <c:pt idx="2">
                  <c:v>37</c:v>
                </c:pt>
                <c:pt idx="3">
                  <c:v>47</c:v>
                </c:pt>
                <c:pt idx="4">
                  <c:v>55</c:v>
                </c:pt>
              </c:numCache>
            </c:numRef>
          </c:xVal>
          <c:yVal>
            <c:numRef>
              <c:f>Hoja1!$G$39:$G$43</c:f>
              <c:numCache>
                <c:formatCode>General</c:formatCode>
                <c:ptCount val="5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5D0-BA4F-B3AE-3280928B0C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9124704"/>
        <c:axId val="239228368"/>
      </c:scatterChart>
      <c:valAx>
        <c:axId val="2391247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39228368"/>
        <c:crosses val="autoZero"/>
        <c:crossBetween val="midCat"/>
      </c:valAx>
      <c:valAx>
        <c:axId val="239228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391247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Hoja1!$J$38</c:f>
              <c:strCache>
                <c:ptCount val="1"/>
                <c:pt idx="0">
                  <c:v>n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ES"/>
                </a:p>
              </c:txPr>
            </c:trendlineLbl>
          </c:trendline>
          <c:xVal>
            <c:numRef>
              <c:f>Hoja1!$I$39:$I$43</c:f>
              <c:numCache>
                <c:formatCode>General</c:formatCode>
                <c:ptCount val="5"/>
                <c:pt idx="0">
                  <c:v>28</c:v>
                </c:pt>
                <c:pt idx="1">
                  <c:v>41</c:v>
                </c:pt>
                <c:pt idx="2">
                  <c:v>55</c:v>
                </c:pt>
                <c:pt idx="3">
                  <c:v>70</c:v>
                </c:pt>
                <c:pt idx="4">
                  <c:v>80</c:v>
                </c:pt>
              </c:numCache>
            </c:numRef>
          </c:xVal>
          <c:yVal>
            <c:numRef>
              <c:f>Hoja1!$J$39:$J$43</c:f>
              <c:numCache>
                <c:formatCode>General</c:formatCode>
                <c:ptCount val="5"/>
                <c:pt idx="0">
                  <c:v>15</c:v>
                </c:pt>
                <c:pt idx="1">
                  <c:v>22.5</c:v>
                </c:pt>
                <c:pt idx="2">
                  <c:v>30</c:v>
                </c:pt>
                <c:pt idx="3">
                  <c:v>37.5</c:v>
                </c:pt>
                <c:pt idx="4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4CA-F842-B9C0-3C9EF44E46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4237392"/>
        <c:axId val="223745056"/>
      </c:scatterChart>
      <c:valAx>
        <c:axId val="2242373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23745056"/>
        <c:crosses val="autoZero"/>
        <c:crossBetween val="midCat"/>
      </c:valAx>
      <c:valAx>
        <c:axId val="223745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242373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ES"/>
                </a:p>
              </c:txPr>
            </c:trendlineLbl>
          </c:trendline>
          <c:xVal>
            <c:numRef>
              <c:f>Hoja1!$D$64:$D$78</c:f>
              <c:numCache>
                <c:formatCode>General</c:formatCode>
                <c:ptCount val="15"/>
                <c:pt idx="0">
                  <c:v>9</c:v>
                </c:pt>
                <c:pt idx="1">
                  <c:v>14</c:v>
                </c:pt>
                <c:pt idx="2">
                  <c:v>19</c:v>
                </c:pt>
                <c:pt idx="3">
                  <c:v>24</c:v>
                </c:pt>
                <c:pt idx="4">
                  <c:v>29</c:v>
                </c:pt>
                <c:pt idx="5">
                  <c:v>19</c:v>
                </c:pt>
                <c:pt idx="6">
                  <c:v>28</c:v>
                </c:pt>
                <c:pt idx="7">
                  <c:v>37</c:v>
                </c:pt>
                <c:pt idx="8">
                  <c:v>47</c:v>
                </c:pt>
                <c:pt idx="9">
                  <c:v>55</c:v>
                </c:pt>
                <c:pt idx="10">
                  <c:v>28</c:v>
                </c:pt>
                <c:pt idx="11">
                  <c:v>41</c:v>
                </c:pt>
                <c:pt idx="12">
                  <c:v>55</c:v>
                </c:pt>
                <c:pt idx="13">
                  <c:v>70</c:v>
                </c:pt>
                <c:pt idx="14">
                  <c:v>80</c:v>
                </c:pt>
              </c:numCache>
            </c:numRef>
          </c:xVal>
          <c:yVal>
            <c:numRef>
              <c:f>Hoja1!$E$64:$E$78</c:f>
              <c:numCache>
                <c:formatCode>General</c:formatCode>
                <c:ptCount val="15"/>
                <c:pt idx="0">
                  <c:v>5</c:v>
                </c:pt>
                <c:pt idx="1">
                  <c:v>7.5</c:v>
                </c:pt>
                <c:pt idx="2">
                  <c:v>10</c:v>
                </c:pt>
                <c:pt idx="3">
                  <c:v>12.5</c:v>
                </c:pt>
                <c:pt idx="4">
                  <c:v>15</c:v>
                </c:pt>
                <c:pt idx="5">
                  <c:v>10</c:v>
                </c:pt>
                <c:pt idx="6">
                  <c:v>15</c:v>
                </c:pt>
                <c:pt idx="7">
                  <c:v>20</c:v>
                </c:pt>
                <c:pt idx="8">
                  <c:v>25</c:v>
                </c:pt>
                <c:pt idx="9">
                  <c:v>30</c:v>
                </c:pt>
                <c:pt idx="10">
                  <c:v>15</c:v>
                </c:pt>
                <c:pt idx="11">
                  <c:v>22.5</c:v>
                </c:pt>
                <c:pt idx="12">
                  <c:v>30</c:v>
                </c:pt>
                <c:pt idx="13">
                  <c:v>37.5</c:v>
                </c:pt>
                <c:pt idx="14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26B-1B4A-8C85-97276D05F0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9873952"/>
        <c:axId val="198776624"/>
      </c:scatterChart>
      <c:valAx>
        <c:axId val="2198739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8776624"/>
        <c:crosses val="autoZero"/>
        <c:crossBetween val="midCat"/>
      </c:valAx>
      <c:valAx>
        <c:axId val="198776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98739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Hoja1!$E$86</c:f>
              <c:strCache>
                <c:ptCount val="1"/>
                <c:pt idx="0">
                  <c:v>n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ES"/>
                </a:p>
              </c:txPr>
            </c:trendlineLbl>
          </c:trendline>
          <c:xVal>
            <c:numRef>
              <c:f>Hoja1!$D$87:$D$91</c:f>
              <c:numCache>
                <c:formatCode>General</c:formatCode>
                <c:ptCount val="5"/>
                <c:pt idx="0">
                  <c:v>99</c:v>
                </c:pt>
                <c:pt idx="1">
                  <c:v>199</c:v>
                </c:pt>
                <c:pt idx="2">
                  <c:v>298</c:v>
                </c:pt>
                <c:pt idx="3">
                  <c:v>398</c:v>
                </c:pt>
              </c:numCache>
            </c:numRef>
          </c:xVal>
          <c:yVal>
            <c:numRef>
              <c:f>Hoja1!$E$87:$E$91</c:f>
              <c:numCache>
                <c:formatCode>General</c:formatCode>
                <c:ptCount val="5"/>
                <c:pt idx="0">
                  <c:v>50</c:v>
                </c:pt>
                <c:pt idx="1">
                  <c:v>100</c:v>
                </c:pt>
                <c:pt idx="2">
                  <c:v>150</c:v>
                </c:pt>
                <c:pt idx="3">
                  <c:v>200</c:v>
                </c:pt>
                <c:pt idx="4">
                  <c:v>250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850-9847-AD49-08805E65BC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3132736"/>
        <c:axId val="393170016"/>
      </c:scatterChart>
      <c:valAx>
        <c:axId val="393132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93170016"/>
        <c:crosses val="autoZero"/>
        <c:crossBetween val="midCat"/>
      </c:valAx>
      <c:valAx>
        <c:axId val="393170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931327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2356933508311458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ES"/>
                </a:p>
              </c:txPr>
            </c:trendlineLbl>
          </c:trendline>
          <c:xVal>
            <c:numRef>
              <c:f>Hoja1!$S$36:$S$38</c:f>
              <c:numCache>
                <c:formatCode>General</c:formatCode>
                <c:ptCount val="3"/>
                <c:pt idx="0">
                  <c:v>29</c:v>
                </c:pt>
                <c:pt idx="1">
                  <c:v>55</c:v>
                </c:pt>
                <c:pt idx="2">
                  <c:v>80</c:v>
                </c:pt>
              </c:numCache>
            </c:numRef>
          </c:xVal>
          <c:yVal>
            <c:numRef>
              <c:f>Hoja1!$T$36:$T$38</c:f>
              <c:numCache>
                <c:formatCode>General</c:formatCode>
                <c:ptCount val="3"/>
                <c:pt idx="0">
                  <c:v>15</c:v>
                </c:pt>
                <c:pt idx="1">
                  <c:v>30</c:v>
                </c:pt>
                <c:pt idx="2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08B-0540-839D-D1C975BD30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9976800"/>
        <c:axId val="420036000"/>
      </c:scatterChart>
      <c:valAx>
        <c:axId val="4199768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20036000"/>
        <c:crosses val="autoZero"/>
        <c:crossBetween val="midCat"/>
      </c:valAx>
      <c:valAx>
        <c:axId val="420036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199768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Hoja1!$I$86</c:f>
              <c:strCache>
                <c:ptCount val="1"/>
                <c:pt idx="0">
                  <c:v>n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ES"/>
                </a:p>
              </c:txPr>
            </c:trendlineLbl>
          </c:trendline>
          <c:xVal>
            <c:numRef>
              <c:f>Hoja1!$H$87:$H$90</c:f>
              <c:numCache>
                <c:formatCode>General</c:formatCode>
                <c:ptCount val="4"/>
                <c:pt idx="0">
                  <c:v>79</c:v>
                </c:pt>
                <c:pt idx="1">
                  <c:v>159</c:v>
                </c:pt>
                <c:pt idx="2">
                  <c:v>239</c:v>
                </c:pt>
                <c:pt idx="3">
                  <c:v>319</c:v>
                </c:pt>
              </c:numCache>
            </c:numRef>
          </c:xVal>
          <c:yVal>
            <c:numRef>
              <c:f>Hoja1!$I$87:$I$90</c:f>
              <c:numCache>
                <c:formatCode>General</c:formatCode>
                <c:ptCount val="4"/>
                <c:pt idx="0">
                  <c:v>40</c:v>
                </c:pt>
                <c:pt idx="1">
                  <c:v>80</c:v>
                </c:pt>
                <c:pt idx="2">
                  <c:v>120</c:v>
                </c:pt>
                <c:pt idx="3">
                  <c:v>160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F6C-4245-B557-BE147D5AB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9673680"/>
        <c:axId val="420074128"/>
      </c:scatterChart>
      <c:valAx>
        <c:axId val="419673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20074128"/>
        <c:crosses val="autoZero"/>
        <c:crossBetween val="midCat"/>
      </c:valAx>
      <c:valAx>
        <c:axId val="420074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19673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Hoja1!$G$113</c:f>
              <c:strCache>
                <c:ptCount val="1"/>
                <c:pt idx="0">
                  <c:v>n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ES"/>
                </a:p>
              </c:txPr>
            </c:trendlineLbl>
          </c:trendline>
          <c:xVal>
            <c:numRef>
              <c:f>Hoja1!$F$114:$F$121</c:f>
              <c:numCache>
                <c:formatCode>General</c:formatCode>
                <c:ptCount val="8"/>
                <c:pt idx="0">
                  <c:v>99</c:v>
                </c:pt>
                <c:pt idx="1">
                  <c:v>199</c:v>
                </c:pt>
                <c:pt idx="2">
                  <c:v>298</c:v>
                </c:pt>
                <c:pt idx="3">
                  <c:v>398</c:v>
                </c:pt>
                <c:pt idx="4">
                  <c:v>79</c:v>
                </c:pt>
                <c:pt idx="5">
                  <c:v>159</c:v>
                </c:pt>
                <c:pt idx="6">
                  <c:v>239</c:v>
                </c:pt>
                <c:pt idx="7">
                  <c:v>319</c:v>
                </c:pt>
              </c:numCache>
            </c:numRef>
          </c:xVal>
          <c:yVal>
            <c:numRef>
              <c:f>Hoja1!$G$114:$G$121</c:f>
              <c:numCache>
                <c:formatCode>General</c:formatCode>
                <c:ptCount val="8"/>
                <c:pt idx="0">
                  <c:v>50</c:v>
                </c:pt>
                <c:pt idx="1">
                  <c:v>100</c:v>
                </c:pt>
                <c:pt idx="2">
                  <c:v>150</c:v>
                </c:pt>
                <c:pt idx="3">
                  <c:v>200</c:v>
                </c:pt>
                <c:pt idx="4">
                  <c:v>40</c:v>
                </c:pt>
                <c:pt idx="5">
                  <c:v>80</c:v>
                </c:pt>
                <c:pt idx="6">
                  <c:v>120</c:v>
                </c:pt>
                <c:pt idx="7">
                  <c:v>160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37B-B940-88E6-B8D2BAD4C2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5878496"/>
        <c:axId val="456238384"/>
      </c:scatterChart>
      <c:valAx>
        <c:axId val="4658784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56238384"/>
        <c:crosses val="autoZero"/>
        <c:crossBetween val="midCat"/>
      </c:valAx>
      <c:valAx>
        <c:axId val="456238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58784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17</xdr:row>
      <xdr:rowOff>95250</xdr:rowOff>
    </xdr:from>
    <xdr:to>
      <xdr:col>5</xdr:col>
      <xdr:colOff>444500</xdr:colOff>
      <xdr:row>30</xdr:row>
      <xdr:rowOff>196850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5178DD2-BAC5-EB18-4C16-7612C048C7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679450</xdr:colOff>
      <xdr:row>17</xdr:row>
      <xdr:rowOff>107950</xdr:rowOff>
    </xdr:from>
    <xdr:to>
      <xdr:col>11</xdr:col>
      <xdr:colOff>298450</xdr:colOff>
      <xdr:row>31</xdr:row>
      <xdr:rowOff>6350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7A4A4700-CE32-CDBE-DE84-B924FE0384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177800</xdr:colOff>
      <xdr:row>17</xdr:row>
      <xdr:rowOff>82550</xdr:rowOff>
    </xdr:from>
    <xdr:to>
      <xdr:col>17</xdr:col>
      <xdr:colOff>622300</xdr:colOff>
      <xdr:row>30</xdr:row>
      <xdr:rowOff>184150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BA69718-771A-9E39-A759-D97321EDB7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292100</xdr:colOff>
      <xdr:row>46</xdr:row>
      <xdr:rowOff>69850</xdr:rowOff>
    </xdr:from>
    <xdr:to>
      <xdr:col>5</xdr:col>
      <xdr:colOff>736600</xdr:colOff>
      <xdr:row>59</xdr:row>
      <xdr:rowOff>171450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B9347E5C-DEB2-6E0E-6A45-CC0DC8EC79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139700</xdr:colOff>
      <xdr:row>45</xdr:row>
      <xdr:rowOff>158750</xdr:rowOff>
    </xdr:from>
    <xdr:to>
      <xdr:col>11</xdr:col>
      <xdr:colOff>584200</xdr:colOff>
      <xdr:row>59</xdr:row>
      <xdr:rowOff>57150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3EAB4FF8-4C77-7841-F844-354478A465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11</xdr:col>
      <xdr:colOff>571500</xdr:colOff>
      <xdr:row>45</xdr:row>
      <xdr:rowOff>146050</xdr:rowOff>
    </xdr:from>
    <xdr:to>
      <xdr:col>17</xdr:col>
      <xdr:colOff>190500</xdr:colOff>
      <xdr:row>59</xdr:row>
      <xdr:rowOff>44450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A16DF859-3133-4599-F97C-FFCD195255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</xdr:col>
      <xdr:colOff>165100</xdr:colOff>
      <xdr:row>67</xdr:row>
      <xdr:rowOff>196850</xdr:rowOff>
    </xdr:from>
    <xdr:to>
      <xdr:col>11</xdr:col>
      <xdr:colOff>609600</xdr:colOff>
      <xdr:row>81</xdr:row>
      <xdr:rowOff>95250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BB62AC16-917D-489D-ADA4-6B709BA4F9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630767</xdr:colOff>
      <xdr:row>94</xdr:row>
      <xdr:rowOff>110067</xdr:rowOff>
    </xdr:from>
    <xdr:to>
      <xdr:col>7</xdr:col>
      <xdr:colOff>224367</xdr:colOff>
      <xdr:row>108</xdr:row>
      <xdr:rowOff>8467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74F8A916-4C80-8A4F-B4BE-392F5AF529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17</xdr:col>
      <xdr:colOff>690033</xdr:colOff>
      <xdr:row>38</xdr:row>
      <xdr:rowOff>127000</xdr:rowOff>
    </xdr:from>
    <xdr:to>
      <xdr:col>23</xdr:col>
      <xdr:colOff>283633</xdr:colOff>
      <xdr:row>52</xdr:row>
      <xdr:rowOff>25400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E4A360D3-8203-4AC4-DC4D-2BD10B99F2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</xdr:col>
      <xdr:colOff>440266</xdr:colOff>
      <xdr:row>95</xdr:row>
      <xdr:rowOff>8466</xdr:rowOff>
    </xdr:from>
    <xdr:to>
      <xdr:col>13</xdr:col>
      <xdr:colOff>33866</xdr:colOff>
      <xdr:row>108</xdr:row>
      <xdr:rowOff>110066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5D7E9BDF-202A-7414-E4C6-E66C4BCD17B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338668</xdr:colOff>
      <xdr:row>113</xdr:row>
      <xdr:rowOff>8466</xdr:rowOff>
    </xdr:from>
    <xdr:to>
      <xdr:col>12</xdr:col>
      <xdr:colOff>762001</xdr:colOff>
      <xdr:row>126</xdr:row>
      <xdr:rowOff>110066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E11E685D-D891-D132-0DB8-BCF31F510A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7253E-D333-CB49-9C64-23580227EDAE}">
  <dimension ref="A1:T121"/>
  <sheetViews>
    <sheetView tabSelected="1" topLeftCell="E94" zoomScale="150" workbookViewId="0">
      <selection activeCell="F114" sqref="F114:G121"/>
    </sheetView>
  </sheetViews>
  <sheetFormatPr baseColWidth="10" defaultRowHeight="16" x14ac:dyDescent="0.2"/>
  <sheetData>
    <row r="1" spans="1:9" x14ac:dyDescent="0.2">
      <c r="A1" t="s">
        <v>3</v>
      </c>
    </row>
    <row r="2" spans="1:9" x14ac:dyDescent="0.2">
      <c r="B2" t="s">
        <v>1</v>
      </c>
      <c r="E2" t="s">
        <v>4</v>
      </c>
      <c r="H2" t="s">
        <v>5</v>
      </c>
    </row>
    <row r="3" spans="1:9" x14ac:dyDescent="0.2">
      <c r="B3" t="s">
        <v>0</v>
      </c>
      <c r="C3" t="s">
        <v>2</v>
      </c>
      <c r="E3" t="s">
        <v>0</v>
      </c>
      <c r="F3" t="s">
        <v>2</v>
      </c>
      <c r="H3" t="s">
        <v>0</v>
      </c>
      <c r="I3" t="s">
        <v>6</v>
      </c>
    </row>
    <row r="4" spans="1:9" x14ac:dyDescent="0.2">
      <c r="B4">
        <v>10</v>
      </c>
      <c r="C4">
        <v>9</v>
      </c>
      <c r="E4">
        <v>10</v>
      </c>
      <c r="F4">
        <v>19</v>
      </c>
      <c r="H4">
        <v>10</v>
      </c>
      <c r="I4">
        <v>28</v>
      </c>
    </row>
    <row r="5" spans="1:9" x14ac:dyDescent="0.2">
      <c r="B5">
        <v>15</v>
      </c>
      <c r="C5">
        <v>14</v>
      </c>
      <c r="E5">
        <v>15</v>
      </c>
      <c r="F5">
        <v>28</v>
      </c>
      <c r="H5">
        <v>15</v>
      </c>
      <c r="I5">
        <v>41</v>
      </c>
    </row>
    <row r="6" spans="1:9" x14ac:dyDescent="0.2">
      <c r="B6">
        <v>20</v>
      </c>
      <c r="C6">
        <v>19</v>
      </c>
      <c r="E6">
        <v>20</v>
      </c>
      <c r="F6">
        <v>37</v>
      </c>
      <c r="H6">
        <v>20</v>
      </c>
      <c r="I6">
        <v>55</v>
      </c>
    </row>
    <row r="7" spans="1:9" x14ac:dyDescent="0.2">
      <c r="B7">
        <v>25</v>
      </c>
      <c r="C7">
        <v>24</v>
      </c>
      <c r="E7">
        <v>25</v>
      </c>
      <c r="F7">
        <v>47</v>
      </c>
      <c r="H7">
        <v>25</v>
      </c>
      <c r="I7">
        <v>70</v>
      </c>
    </row>
    <row r="8" spans="1:9" x14ac:dyDescent="0.2">
      <c r="B8">
        <v>30</v>
      </c>
      <c r="C8">
        <v>29</v>
      </c>
      <c r="E8">
        <v>30</v>
      </c>
      <c r="F8">
        <v>55</v>
      </c>
      <c r="H8">
        <v>30</v>
      </c>
      <c r="I8">
        <v>80</v>
      </c>
    </row>
    <row r="10" spans="1:9" x14ac:dyDescent="0.2">
      <c r="A10" t="s">
        <v>7</v>
      </c>
    </row>
    <row r="11" spans="1:9" x14ac:dyDescent="0.2">
      <c r="B11" s="1" t="s">
        <v>13</v>
      </c>
      <c r="C11" s="1"/>
      <c r="E11" s="1" t="s">
        <v>16</v>
      </c>
      <c r="F11" s="1"/>
      <c r="H11" s="1" t="s">
        <v>16</v>
      </c>
      <c r="I11" s="1"/>
    </row>
    <row r="12" spans="1:9" x14ac:dyDescent="0.2">
      <c r="B12" t="s">
        <v>14</v>
      </c>
      <c r="C12" t="s">
        <v>6</v>
      </c>
      <c r="E12" t="s">
        <v>14</v>
      </c>
      <c r="F12" t="s">
        <v>6</v>
      </c>
      <c r="H12" t="s">
        <v>14</v>
      </c>
      <c r="I12" t="s">
        <v>6</v>
      </c>
    </row>
    <row r="13" spans="1:9" x14ac:dyDescent="0.2">
      <c r="A13" t="s">
        <v>8</v>
      </c>
      <c r="B13">
        <v>1</v>
      </c>
      <c r="C13">
        <v>9</v>
      </c>
      <c r="E13">
        <v>2</v>
      </c>
      <c r="F13">
        <v>19</v>
      </c>
      <c r="H13">
        <v>3</v>
      </c>
      <c r="I13">
        <v>28</v>
      </c>
    </row>
    <row r="14" spans="1:9" x14ac:dyDescent="0.2">
      <c r="A14" t="s">
        <v>9</v>
      </c>
      <c r="B14">
        <v>1</v>
      </c>
      <c r="C14">
        <v>14</v>
      </c>
      <c r="E14">
        <v>2</v>
      </c>
      <c r="F14">
        <v>28</v>
      </c>
      <c r="H14">
        <v>3</v>
      </c>
      <c r="I14">
        <v>41</v>
      </c>
    </row>
    <row r="15" spans="1:9" x14ac:dyDescent="0.2">
      <c r="A15" t="s">
        <v>10</v>
      </c>
      <c r="B15">
        <v>1</v>
      </c>
      <c r="C15">
        <v>19</v>
      </c>
      <c r="E15">
        <v>2</v>
      </c>
      <c r="F15">
        <v>37</v>
      </c>
      <c r="H15">
        <v>3</v>
      </c>
      <c r="I15">
        <v>55</v>
      </c>
    </row>
    <row r="16" spans="1:9" x14ac:dyDescent="0.2">
      <c r="A16" t="s">
        <v>11</v>
      </c>
      <c r="B16">
        <v>1</v>
      </c>
      <c r="C16">
        <v>24</v>
      </c>
      <c r="E16">
        <v>2</v>
      </c>
      <c r="F16">
        <v>47</v>
      </c>
      <c r="H16">
        <v>3</v>
      </c>
      <c r="I16">
        <v>70</v>
      </c>
    </row>
    <row r="17" spans="1:9" x14ac:dyDescent="0.2">
      <c r="A17" t="s">
        <v>12</v>
      </c>
      <c r="B17">
        <v>1</v>
      </c>
      <c r="C17">
        <v>29</v>
      </c>
      <c r="E17">
        <v>2</v>
      </c>
      <c r="F17">
        <v>55</v>
      </c>
      <c r="H17">
        <v>3</v>
      </c>
      <c r="I17">
        <v>80</v>
      </c>
    </row>
    <row r="35" spans="2:20" x14ac:dyDescent="0.2">
      <c r="C35" t="s">
        <v>18</v>
      </c>
    </row>
    <row r="36" spans="2:20" x14ac:dyDescent="0.2">
      <c r="S36">
        <v>29</v>
      </c>
      <c r="T36">
        <v>15</v>
      </c>
    </row>
    <row r="37" spans="2:20" x14ac:dyDescent="0.2">
      <c r="C37" t="s">
        <v>17</v>
      </c>
      <c r="F37" t="s">
        <v>19</v>
      </c>
      <c r="I37" t="s">
        <v>20</v>
      </c>
      <c r="S37">
        <v>55</v>
      </c>
      <c r="T37">
        <v>30</v>
      </c>
    </row>
    <row r="38" spans="2:20" x14ac:dyDescent="0.2">
      <c r="B38" t="s">
        <v>0</v>
      </c>
      <c r="C38" t="s">
        <v>6</v>
      </c>
      <c r="D38" t="s">
        <v>15</v>
      </c>
      <c r="F38" t="s">
        <v>6</v>
      </c>
      <c r="G38" t="s">
        <v>15</v>
      </c>
      <c r="I38" t="s">
        <v>6</v>
      </c>
      <c r="J38" t="s">
        <v>15</v>
      </c>
      <c r="S38">
        <v>80</v>
      </c>
      <c r="T38">
        <v>45</v>
      </c>
    </row>
    <row r="39" spans="2:20" x14ac:dyDescent="0.2">
      <c r="B39">
        <v>10</v>
      </c>
      <c r="C39">
        <v>9</v>
      </c>
      <c r="D39">
        <f>1*B39/(2)</f>
        <v>5</v>
      </c>
      <c r="F39">
        <v>19</v>
      </c>
      <c r="G39">
        <f>2*B39/(2)</f>
        <v>10</v>
      </c>
      <c r="I39">
        <v>28</v>
      </c>
      <c r="J39">
        <f>3*B39/2</f>
        <v>15</v>
      </c>
    </row>
    <row r="40" spans="2:20" x14ac:dyDescent="0.2">
      <c r="B40">
        <v>15</v>
      </c>
      <c r="C40">
        <v>14</v>
      </c>
      <c r="D40">
        <f>1*B40/(2)</f>
        <v>7.5</v>
      </c>
      <c r="F40">
        <v>28</v>
      </c>
      <c r="G40">
        <f>2*B40/(2)</f>
        <v>15</v>
      </c>
      <c r="I40">
        <v>41</v>
      </c>
      <c r="J40">
        <f>3*B40/2</f>
        <v>22.5</v>
      </c>
    </row>
    <row r="41" spans="2:20" x14ac:dyDescent="0.2">
      <c r="B41">
        <v>20</v>
      </c>
      <c r="C41">
        <v>19</v>
      </c>
      <c r="D41">
        <f>1*B41/(2)</f>
        <v>10</v>
      </c>
      <c r="F41">
        <v>37</v>
      </c>
      <c r="G41">
        <f>2*B41/(2)</f>
        <v>20</v>
      </c>
      <c r="I41">
        <v>55</v>
      </c>
      <c r="J41">
        <f>3*B41/2</f>
        <v>30</v>
      </c>
    </row>
    <row r="42" spans="2:20" x14ac:dyDescent="0.2">
      <c r="B42">
        <v>25</v>
      </c>
      <c r="C42">
        <v>24</v>
      </c>
      <c r="D42">
        <f>1*B42/(2)</f>
        <v>12.5</v>
      </c>
      <c r="F42">
        <v>47</v>
      </c>
      <c r="G42">
        <f>2*B42/(2)</f>
        <v>25</v>
      </c>
      <c r="I42">
        <v>70</v>
      </c>
      <c r="J42">
        <f>3*B42/2</f>
        <v>37.5</v>
      </c>
    </row>
    <row r="43" spans="2:20" x14ac:dyDescent="0.2">
      <c r="B43">
        <v>30</v>
      </c>
      <c r="C43">
        <v>29</v>
      </c>
      <c r="D43">
        <f>1*B43/(2)</f>
        <v>15</v>
      </c>
      <c r="F43">
        <v>55</v>
      </c>
      <c r="G43">
        <f>2*B43/(2)</f>
        <v>30</v>
      </c>
      <c r="I43">
        <v>80</v>
      </c>
      <c r="J43">
        <f>3*B43/2</f>
        <v>45</v>
      </c>
    </row>
    <row r="64" spans="4:5" x14ac:dyDescent="0.2">
      <c r="D64">
        <v>9</v>
      </c>
      <c r="E64">
        <v>5</v>
      </c>
    </row>
    <row r="65" spans="4:5" x14ac:dyDescent="0.2">
      <c r="D65">
        <v>14</v>
      </c>
      <c r="E65">
        <v>7.5</v>
      </c>
    </row>
    <row r="66" spans="4:5" x14ac:dyDescent="0.2">
      <c r="D66">
        <v>19</v>
      </c>
      <c r="E66">
        <v>10</v>
      </c>
    </row>
    <row r="67" spans="4:5" x14ac:dyDescent="0.2">
      <c r="D67">
        <v>24</v>
      </c>
      <c r="E67">
        <v>12.5</v>
      </c>
    </row>
    <row r="68" spans="4:5" x14ac:dyDescent="0.2">
      <c r="D68">
        <v>29</v>
      </c>
      <c r="E68">
        <v>15</v>
      </c>
    </row>
    <row r="69" spans="4:5" x14ac:dyDescent="0.2">
      <c r="D69">
        <v>19</v>
      </c>
      <c r="E69">
        <v>10</v>
      </c>
    </row>
    <row r="70" spans="4:5" x14ac:dyDescent="0.2">
      <c r="D70">
        <v>28</v>
      </c>
      <c r="E70">
        <v>15</v>
      </c>
    </row>
    <row r="71" spans="4:5" x14ac:dyDescent="0.2">
      <c r="D71">
        <v>37</v>
      </c>
      <c r="E71">
        <v>20</v>
      </c>
    </row>
    <row r="72" spans="4:5" x14ac:dyDescent="0.2">
      <c r="D72">
        <v>47</v>
      </c>
      <c r="E72">
        <v>25</v>
      </c>
    </row>
    <row r="73" spans="4:5" x14ac:dyDescent="0.2">
      <c r="D73">
        <v>55</v>
      </c>
      <c r="E73">
        <v>30</v>
      </c>
    </row>
    <row r="74" spans="4:5" x14ac:dyDescent="0.2">
      <c r="D74">
        <v>28</v>
      </c>
      <c r="E74">
        <v>15</v>
      </c>
    </row>
    <row r="75" spans="4:5" x14ac:dyDescent="0.2">
      <c r="D75">
        <v>41</v>
      </c>
      <c r="E75">
        <v>22.5</v>
      </c>
    </row>
    <row r="76" spans="4:5" x14ac:dyDescent="0.2">
      <c r="D76">
        <v>55</v>
      </c>
      <c r="E76">
        <v>30</v>
      </c>
    </row>
    <row r="77" spans="4:5" x14ac:dyDescent="0.2">
      <c r="D77">
        <v>70</v>
      </c>
      <c r="E77">
        <v>37.5</v>
      </c>
    </row>
    <row r="78" spans="4:5" x14ac:dyDescent="0.2">
      <c r="D78">
        <v>80</v>
      </c>
      <c r="E78">
        <v>45</v>
      </c>
    </row>
    <row r="86" spans="2:12" x14ac:dyDescent="0.2">
      <c r="B86" t="s">
        <v>21</v>
      </c>
      <c r="D86" t="s">
        <v>6</v>
      </c>
      <c r="E86" t="s">
        <v>15</v>
      </c>
      <c r="H86" t="s">
        <v>6</v>
      </c>
      <c r="I86" t="s">
        <v>15</v>
      </c>
      <c r="K86" t="s">
        <v>6</v>
      </c>
      <c r="L86" t="s">
        <v>15</v>
      </c>
    </row>
    <row r="87" spans="2:12" x14ac:dyDescent="0.2">
      <c r="B87">
        <v>100</v>
      </c>
      <c r="D87">
        <v>99</v>
      </c>
      <c r="E87">
        <f>1/2*100</f>
        <v>50</v>
      </c>
      <c r="H87">
        <v>79</v>
      </c>
      <c r="I87">
        <f>1/2*80</f>
        <v>40</v>
      </c>
    </row>
    <row r="88" spans="2:12" x14ac:dyDescent="0.2">
      <c r="D88">
        <v>199</v>
      </c>
      <c r="E88">
        <f>2/2*100</f>
        <v>100</v>
      </c>
      <c r="H88">
        <v>159</v>
      </c>
      <c r="I88">
        <f>2/2*80</f>
        <v>80</v>
      </c>
    </row>
    <row r="89" spans="2:12" x14ac:dyDescent="0.2">
      <c r="D89">
        <v>298</v>
      </c>
      <c r="E89">
        <f>3/2*100</f>
        <v>150</v>
      </c>
      <c r="H89">
        <v>239</v>
      </c>
      <c r="I89">
        <f>3/2*80</f>
        <v>120</v>
      </c>
    </row>
    <row r="90" spans="2:12" x14ac:dyDescent="0.2">
      <c r="D90">
        <v>398</v>
      </c>
      <c r="E90">
        <f>4/2*100</f>
        <v>200</v>
      </c>
      <c r="H90">
        <v>319</v>
      </c>
      <c r="I90">
        <f>4/2*80</f>
        <v>160</v>
      </c>
    </row>
    <row r="91" spans="2:12" x14ac:dyDescent="0.2">
      <c r="E91">
        <v>250</v>
      </c>
    </row>
    <row r="92" spans="2:12" x14ac:dyDescent="0.2">
      <c r="E92">
        <f>6/2*100</f>
        <v>300</v>
      </c>
    </row>
    <row r="113" spans="6:7" x14ac:dyDescent="0.2">
      <c r="F113" t="s">
        <v>22</v>
      </c>
      <c r="G113" t="s">
        <v>15</v>
      </c>
    </row>
    <row r="114" spans="6:7" x14ac:dyDescent="0.2">
      <c r="F114">
        <v>99</v>
      </c>
      <c r="G114">
        <v>50</v>
      </c>
    </row>
    <row r="115" spans="6:7" x14ac:dyDescent="0.2">
      <c r="F115">
        <v>199</v>
      </c>
      <c r="G115">
        <v>100</v>
      </c>
    </row>
    <row r="116" spans="6:7" x14ac:dyDescent="0.2">
      <c r="F116">
        <v>298</v>
      </c>
      <c r="G116">
        <v>150</v>
      </c>
    </row>
    <row r="117" spans="6:7" x14ac:dyDescent="0.2">
      <c r="F117">
        <v>398</v>
      </c>
      <c r="G117">
        <v>200</v>
      </c>
    </row>
    <row r="118" spans="6:7" x14ac:dyDescent="0.2">
      <c r="F118">
        <v>79</v>
      </c>
      <c r="G118">
        <v>40</v>
      </c>
    </row>
    <row r="119" spans="6:7" x14ac:dyDescent="0.2">
      <c r="F119">
        <v>159</v>
      </c>
      <c r="G119">
        <v>80</v>
      </c>
    </row>
    <row r="120" spans="6:7" x14ac:dyDescent="0.2">
      <c r="F120">
        <v>239</v>
      </c>
      <c r="G120">
        <v>120</v>
      </c>
    </row>
    <row r="121" spans="6:7" x14ac:dyDescent="0.2">
      <c r="F121">
        <v>319</v>
      </c>
      <c r="G121">
        <v>160</v>
      </c>
    </row>
  </sheetData>
  <mergeCells count="3">
    <mergeCell ref="B11:C11"/>
    <mergeCell ref="E11:F11"/>
    <mergeCell ref="H11:I11"/>
  </mergeCells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2026-06-01T12:24:30Z</dcterms:created>
  <dcterms:modified xsi:type="dcterms:W3CDTF">2026-06-03T00:43:04Z</dcterms:modified>
</cp:coreProperties>
</file>